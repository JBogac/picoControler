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gac\.Projekty\picoControler\docs\"/>
    </mc:Choice>
  </mc:AlternateContent>
  <xr:revisionPtr revIDLastSave="0" documentId="8_{8BC2160B-412C-48C2-9AB7-4207B569B107}" xr6:coauthVersionLast="47" xr6:coauthVersionMax="47" xr10:uidLastSave="{00000000-0000-0000-0000-000000000000}"/>
  <bookViews>
    <workbookView xWindow="-108" yWindow="-108" windowWidth="23256" windowHeight="12456" xr2:uid="{47B11DC9-9CCA-4973-9650-9F67DAA3787B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2" i="1" l="1"/>
  <c r="AA3" i="1" s="1"/>
  <c r="AA4" i="1" s="1"/>
  <c r="AA5" i="1" s="1"/>
  <c r="AA6" i="1" s="1"/>
  <c r="AA7" i="1" s="1"/>
  <c r="AA8" i="1" s="1"/>
  <c r="AA9" i="1" s="1"/>
  <c r="AA10" i="1" s="1"/>
  <c r="AA11" i="1" s="1"/>
  <c r="AA12" i="1" s="1"/>
  <c r="AA13" i="1" s="1"/>
  <c r="AA14" i="1" s="1"/>
  <c r="AA15" i="1" s="1"/>
</calcChain>
</file>

<file path=xl/sharedStrings.xml><?xml version="1.0" encoding="utf-8"?>
<sst xmlns="http://schemas.openxmlformats.org/spreadsheetml/2006/main" count="138" uniqueCount="42">
  <si>
    <t>Instrukcja</t>
  </si>
  <si>
    <t>Opcode</t>
  </si>
  <si>
    <t>Operand</t>
  </si>
  <si>
    <t>Wyjaśnienie wartości</t>
  </si>
  <si>
    <t>Informacje</t>
  </si>
  <si>
    <t>Lp.</t>
  </si>
  <si>
    <t>LOAD</t>
  </si>
  <si>
    <t>A</t>
  </si>
  <si>
    <t>D</t>
  </si>
  <si>
    <t>A – Adres Rejestru; D – 8-bitowe Dane</t>
  </si>
  <si>
    <t xml:space="preserve">Wpisuje 8-bitowe dane bezpośrednio do wybranego rejestru </t>
  </si>
  <si>
    <t>ALU_LOG</t>
  </si>
  <si>
    <t>ALU_ARI</t>
  </si>
  <si>
    <t>S</t>
  </si>
  <si>
    <t>–</t>
  </si>
  <si>
    <t>S – Kod Operacji</t>
  </si>
  <si>
    <r>
      <t>Wykonuje operację logiczną na ALU (</t>
    </r>
    <r>
      <rPr>
        <sz val="11"/>
        <color theme="1"/>
        <rFont val="Arial"/>
        <family val="2"/>
        <charset val="238"/>
      </rPr>
      <t>M=1</t>
    </r>
    <r>
      <rPr>
        <sz val="11"/>
        <color theme="1"/>
        <rFont val="Aptos Narrow"/>
        <family val="2"/>
        <charset val="238"/>
        <scheme val="minor"/>
      </rPr>
      <t xml:space="preserve">). Piny </t>
    </r>
    <r>
      <rPr>
        <sz val="11"/>
        <color theme="1"/>
        <rFont val="Arial"/>
        <family val="2"/>
        <charset val="238"/>
      </rPr>
      <t>S0-3</t>
    </r>
    <r>
      <rPr>
        <sz val="11"/>
        <color theme="1"/>
        <rFont val="Aptos Narrow"/>
        <family val="2"/>
        <charset val="238"/>
        <scheme val="minor"/>
      </rPr>
      <t xml:space="preserve"> sterowane przez bity S. Wynik trafia do rejestru F</t>
    </r>
  </si>
  <si>
    <t>Wykonuje operację arytmetyczną na ALU (M=0). Piny S0-3 sterowane przez bity S. Wynik trafia do rejestru F</t>
  </si>
  <si>
    <t>X</t>
  </si>
  <si>
    <r>
      <t>A</t>
    </r>
    <r>
      <rPr>
        <vertAlign val="subscript"/>
        <sz val="11"/>
        <color theme="1"/>
        <rFont val="Aptos Narrow"/>
        <family val="2"/>
        <charset val="238"/>
        <scheme val="minor"/>
      </rPr>
      <t>1</t>
    </r>
  </si>
  <si>
    <r>
      <t>A</t>
    </r>
    <r>
      <rPr>
        <vertAlign val="subscript"/>
        <sz val="11"/>
        <color theme="1"/>
        <rFont val="Aptos Narrow"/>
        <family val="2"/>
        <charset val="238"/>
        <scheme val="minor"/>
      </rPr>
      <t>2</t>
    </r>
    <r>
      <rPr>
        <sz val="11"/>
        <color theme="1"/>
        <rFont val="Aptos Narrow"/>
        <family val="2"/>
        <charset val="238"/>
        <scheme val="minor"/>
      </rPr>
      <t/>
    </r>
  </si>
  <si>
    <t>Przerzuca dane z jednego rejestru do drugiego</t>
  </si>
  <si>
    <t>MOVE</t>
  </si>
  <si>
    <r>
      <t>A</t>
    </r>
    <r>
      <rPr>
        <vertAlign val="subscript"/>
        <sz val="11"/>
        <color theme="1"/>
        <rFont val="Aptos Narrow"/>
        <family val="2"/>
        <scheme val="minor"/>
      </rPr>
      <t xml:space="preserve">1 </t>
    </r>
    <r>
      <rPr>
        <sz val="11"/>
        <color theme="1"/>
        <rFont val="Aptos Narrow"/>
        <family val="2"/>
        <scheme val="minor"/>
      </rPr>
      <t>– Adres 1 rejestru;A</t>
    </r>
    <r>
      <rPr>
        <vertAlign val="subscript"/>
        <sz val="11"/>
        <color theme="1"/>
        <rFont val="Aptos Narrow"/>
        <family val="2"/>
        <scheme val="minor"/>
      </rPr>
      <t xml:space="preserve">2 </t>
    </r>
    <r>
      <rPr>
        <sz val="11"/>
        <color theme="1"/>
        <rFont val="Aptos Narrow"/>
        <family val="2"/>
        <scheme val="minor"/>
      </rPr>
      <t>– Adres 2 rejestru; X – Zapas na rozbudowę</t>
    </r>
  </si>
  <si>
    <t>SET_PAGE</t>
  </si>
  <si>
    <t>S –  Strona w pamięci</t>
  </si>
  <si>
    <t>Stronicowanie pamięci: ładuje nowy numer strony (możliwość obsługi ogromnej pamięci)</t>
  </si>
  <si>
    <t>C</t>
  </si>
  <si>
    <t>A – Adres Dolnego Licznika Programu; C – Kod Warunku</t>
  </si>
  <si>
    <r>
      <t xml:space="preserve">Skok (zależny od opcjonalnych warunków)* na bieżącej stronie pamięci (dolny licznik programu ładuje 8-bitowy </t>
    </r>
    <r>
      <rPr>
        <sz val="10"/>
        <color theme="1"/>
        <rFont val="Arial Unicode MS"/>
        <family val="2"/>
        <charset val="238"/>
      </rPr>
      <t>adres</t>
    </r>
    <r>
      <rPr>
        <sz val="11"/>
        <color theme="1"/>
        <rFont val="Aptos Narrow"/>
        <family val="2"/>
        <charset val="238"/>
        <scheme val="minor"/>
      </rPr>
      <t>).</t>
    </r>
  </si>
  <si>
    <t>NOP</t>
  </si>
  <si>
    <t>Nic nie robi, licznik idzie o +1</t>
  </si>
  <si>
    <t>JUMP_FAMILY</t>
  </si>
  <si>
    <t>HALT</t>
  </si>
  <si>
    <t>Zatrzymanie procesora</t>
  </si>
  <si>
    <t>DELAY</t>
  </si>
  <si>
    <t>T</t>
  </si>
  <si>
    <t>OUT</t>
  </si>
  <si>
    <t>IN</t>
  </si>
  <si>
    <t xml:space="preserve">Opóźnienie </t>
  </si>
  <si>
    <t>LSB</t>
  </si>
  <si>
    <t>MSB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</si>
</sst>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1"/>
      <name val="Arial"/>
      <family val="2"/>
      <charset val="238"/>
    </font>
    <font>
      <vertAlign val="subscript"/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 Unicode MS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2" borderId="0" xfId="0" applyFill="1" applyAlignment="1"/>
    <xf numFmtId="0" fontId="0" fillId="0" borderId="0" xfId="0" applyAlignment="1">
      <alignment horizontal="lef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/>
    </xf>
  </cellXfs>
  <cellStyles count="1">
    <cellStyle name="Normalny" xfId="0" builtinId="0"/>
  </cellStyles>
  <dxfs count="12">
    <dxf>
      <font>
        <color rgb="FFFF0000"/>
      </font>
      <fill>
        <patternFill>
          <bgColor rgb="FFFFAFAF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4.9989318521683403E-2"/>
      </font>
      <fill>
        <patternFill>
          <bgColor theme="2" tint="-0.24994659260841701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rgb="FFFFAFAF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4.9989318521683403E-2"/>
      </font>
      <fill>
        <patternFill>
          <bgColor theme="2" tint="-0.24994659260841701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1919"/>
      <color rgb="FFFF3737"/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AF50C-4F15-41C5-8D3E-60ACD20A42C7}">
  <dimension ref="A1:AA17"/>
  <sheetViews>
    <sheetView tabSelected="1" zoomScale="115" zoomScaleNormal="115" workbookViewId="0">
      <selection activeCell="S14" sqref="S14"/>
    </sheetView>
  </sheetViews>
  <sheetFormatPr defaultRowHeight="14.4" x14ac:dyDescent="0.3"/>
  <cols>
    <col min="1" max="1" width="3.44140625" bestFit="1" customWidth="1"/>
    <col min="3" max="6" width="2" bestFit="1" customWidth="1"/>
    <col min="7" max="18" width="3.109375" bestFit="1" customWidth="1"/>
    <col min="19" max="19" width="31.44140625" style="2" customWidth="1"/>
    <col min="20" max="20" width="26.44140625" customWidth="1"/>
  </cols>
  <sheetData>
    <row r="1" spans="1:27" x14ac:dyDescent="0.3">
      <c r="A1" s="5" t="s">
        <v>5</v>
      </c>
      <c r="B1" s="3" t="s">
        <v>0</v>
      </c>
      <c r="C1" s="4" t="s">
        <v>1</v>
      </c>
      <c r="D1" s="4"/>
      <c r="E1" s="4"/>
      <c r="F1" s="4"/>
      <c r="G1" s="10" t="s">
        <v>41</v>
      </c>
      <c r="H1" s="10"/>
      <c r="I1" s="4" t="s">
        <v>2</v>
      </c>
      <c r="J1" s="4"/>
      <c r="K1" s="4"/>
      <c r="L1" s="4"/>
      <c r="M1" s="4"/>
      <c r="N1" s="4"/>
      <c r="O1" s="4"/>
      <c r="P1" s="4"/>
      <c r="Q1" s="9" t="s">
        <v>40</v>
      </c>
      <c r="R1" s="9"/>
      <c r="S1" s="7" t="s">
        <v>3</v>
      </c>
      <c r="T1" s="3" t="s">
        <v>4</v>
      </c>
      <c r="AA1">
        <v>2</v>
      </c>
    </row>
    <row r="2" spans="1:27" x14ac:dyDescent="0.3">
      <c r="A2" s="6">
        <v>0</v>
      </c>
      <c r="B2" t="s">
        <v>30</v>
      </c>
      <c r="C2">
        <v>0</v>
      </c>
      <c r="D2">
        <v>0</v>
      </c>
      <c r="E2">
        <v>0</v>
      </c>
      <c r="F2">
        <v>0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  <c r="N2" s="1" t="s">
        <v>14</v>
      </c>
      <c r="O2" s="1" t="s">
        <v>14</v>
      </c>
      <c r="P2" s="1" t="s">
        <v>14</v>
      </c>
      <c r="Q2" s="1" t="s">
        <v>14</v>
      </c>
      <c r="R2" s="1" t="s">
        <v>14</v>
      </c>
      <c r="T2" t="s">
        <v>31</v>
      </c>
      <c r="AA2">
        <f>2*AA1</f>
        <v>4</v>
      </c>
    </row>
    <row r="3" spans="1:27" x14ac:dyDescent="0.3">
      <c r="A3" s="6">
        <v>1</v>
      </c>
      <c r="B3" t="s">
        <v>6</v>
      </c>
      <c r="C3">
        <v>0</v>
      </c>
      <c r="D3">
        <v>0</v>
      </c>
      <c r="E3">
        <v>0</v>
      </c>
      <c r="F3">
        <v>1</v>
      </c>
      <c r="G3" s="1" t="s">
        <v>7</v>
      </c>
      <c r="H3" s="1" t="s">
        <v>7</v>
      </c>
      <c r="I3" s="1" t="s">
        <v>7</v>
      </c>
      <c r="J3" s="1" t="s">
        <v>7</v>
      </c>
      <c r="K3" s="1" t="s">
        <v>8</v>
      </c>
      <c r="L3" s="1" t="s">
        <v>8</v>
      </c>
      <c r="M3" s="1" t="s">
        <v>8</v>
      </c>
      <c r="N3" s="1" t="s">
        <v>8</v>
      </c>
      <c r="O3" s="1" t="s">
        <v>8</v>
      </c>
      <c r="P3" s="1" t="s">
        <v>8</v>
      </c>
      <c r="Q3" s="1" t="s">
        <v>8</v>
      </c>
      <c r="R3" s="1" t="s">
        <v>8</v>
      </c>
      <c r="S3" s="2" t="s">
        <v>9</v>
      </c>
      <c r="T3" s="8" t="s">
        <v>10</v>
      </c>
      <c r="AA3">
        <f t="shared" ref="AA3:AA15" si="0">2*AA2</f>
        <v>8</v>
      </c>
    </row>
    <row r="4" spans="1:27" x14ac:dyDescent="0.3">
      <c r="A4" s="6">
        <v>2</v>
      </c>
      <c r="B4" t="s">
        <v>11</v>
      </c>
      <c r="C4">
        <v>0</v>
      </c>
      <c r="D4">
        <v>0</v>
      </c>
      <c r="E4">
        <v>1</v>
      </c>
      <c r="F4">
        <v>0</v>
      </c>
      <c r="G4" s="1" t="s">
        <v>13</v>
      </c>
      <c r="H4" s="1" t="s">
        <v>13</v>
      </c>
      <c r="I4" s="1" t="s">
        <v>13</v>
      </c>
      <c r="J4" s="1" t="s">
        <v>13</v>
      </c>
      <c r="K4" s="1" t="s">
        <v>14</v>
      </c>
      <c r="L4" s="1" t="s">
        <v>14</v>
      </c>
      <c r="M4" s="1" t="s">
        <v>14</v>
      </c>
      <c r="N4" s="1" t="s">
        <v>14</v>
      </c>
      <c r="O4" s="1" t="s">
        <v>14</v>
      </c>
      <c r="P4" s="1" t="s">
        <v>14</v>
      </c>
      <c r="Q4" s="1" t="s">
        <v>14</v>
      </c>
      <c r="R4" s="1" t="s">
        <v>14</v>
      </c>
      <c r="S4" s="2" t="s">
        <v>15</v>
      </c>
      <c r="T4" t="s">
        <v>16</v>
      </c>
      <c r="AA4">
        <f t="shared" si="0"/>
        <v>16</v>
      </c>
    </row>
    <row r="5" spans="1:27" x14ac:dyDescent="0.3">
      <c r="A5" s="6">
        <v>3</v>
      </c>
      <c r="B5" t="s">
        <v>12</v>
      </c>
      <c r="C5">
        <v>0</v>
      </c>
      <c r="D5">
        <v>0</v>
      </c>
      <c r="E5">
        <v>1</v>
      </c>
      <c r="F5">
        <v>1</v>
      </c>
      <c r="G5" s="1" t="s">
        <v>13</v>
      </c>
      <c r="H5" s="1" t="s">
        <v>13</v>
      </c>
      <c r="I5" s="1" t="s">
        <v>13</v>
      </c>
      <c r="J5" s="1" t="s">
        <v>13</v>
      </c>
      <c r="K5" s="1" t="s">
        <v>14</v>
      </c>
      <c r="L5" s="1" t="s">
        <v>14</v>
      </c>
      <c r="M5" s="1" t="s">
        <v>14</v>
      </c>
      <c r="N5" s="1" t="s">
        <v>14</v>
      </c>
      <c r="O5" s="1" t="s">
        <v>14</v>
      </c>
      <c r="P5" s="1" t="s">
        <v>14</v>
      </c>
      <c r="Q5" s="1" t="s">
        <v>14</v>
      </c>
      <c r="R5" s="1" t="s">
        <v>14</v>
      </c>
      <c r="S5" s="2" t="s">
        <v>15</v>
      </c>
      <c r="T5" t="s">
        <v>17</v>
      </c>
      <c r="AA5">
        <f t="shared" si="0"/>
        <v>32</v>
      </c>
    </row>
    <row r="6" spans="1:27" ht="15.6" x14ac:dyDescent="0.35">
      <c r="A6" s="6">
        <v>4</v>
      </c>
      <c r="B6" t="s">
        <v>22</v>
      </c>
      <c r="C6">
        <v>0</v>
      </c>
      <c r="D6">
        <v>1</v>
      </c>
      <c r="E6">
        <v>0</v>
      </c>
      <c r="F6">
        <v>0</v>
      </c>
      <c r="G6" s="1" t="s">
        <v>18</v>
      </c>
      <c r="H6" s="1" t="s">
        <v>18</v>
      </c>
      <c r="I6" s="1" t="s">
        <v>18</v>
      </c>
      <c r="J6" s="1" t="s">
        <v>18</v>
      </c>
      <c r="K6" s="1" t="s">
        <v>19</v>
      </c>
      <c r="L6" s="1" t="s">
        <v>19</v>
      </c>
      <c r="M6" s="1" t="s">
        <v>19</v>
      </c>
      <c r="N6" s="1" t="s">
        <v>19</v>
      </c>
      <c r="O6" s="1" t="s">
        <v>20</v>
      </c>
      <c r="P6" s="1" t="s">
        <v>20</v>
      </c>
      <c r="Q6" s="1" t="s">
        <v>20</v>
      </c>
      <c r="R6" s="1" t="s">
        <v>20</v>
      </c>
      <c r="S6" s="2" t="s">
        <v>23</v>
      </c>
      <c r="T6" t="s">
        <v>21</v>
      </c>
      <c r="AA6">
        <f t="shared" si="0"/>
        <v>64</v>
      </c>
    </row>
    <row r="7" spans="1:27" ht="15" x14ac:dyDescent="0.35">
      <c r="A7" s="6">
        <v>5</v>
      </c>
      <c r="B7" t="s">
        <v>32</v>
      </c>
      <c r="C7">
        <v>0</v>
      </c>
      <c r="D7">
        <v>1</v>
      </c>
      <c r="E7">
        <v>0</v>
      </c>
      <c r="F7">
        <v>1</v>
      </c>
      <c r="G7" s="1" t="s">
        <v>27</v>
      </c>
      <c r="H7" s="1" t="s">
        <v>27</v>
      </c>
      <c r="I7" s="1" t="s">
        <v>27</v>
      </c>
      <c r="J7" s="1" t="s">
        <v>27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2" t="s">
        <v>28</v>
      </c>
      <c r="T7" t="s">
        <v>29</v>
      </c>
      <c r="AA7">
        <f t="shared" si="0"/>
        <v>128</v>
      </c>
    </row>
    <row r="8" spans="1:27" x14ac:dyDescent="0.3">
      <c r="A8" s="6">
        <v>6</v>
      </c>
      <c r="B8" t="s">
        <v>24</v>
      </c>
      <c r="C8">
        <v>0</v>
      </c>
      <c r="D8">
        <v>1</v>
      </c>
      <c r="E8">
        <v>1</v>
      </c>
      <c r="F8">
        <v>0</v>
      </c>
      <c r="G8" s="1" t="s">
        <v>18</v>
      </c>
      <c r="H8" s="1" t="s">
        <v>18</v>
      </c>
      <c r="I8" s="1" t="s">
        <v>18</v>
      </c>
      <c r="J8" s="1" t="s">
        <v>18</v>
      </c>
      <c r="K8" s="1" t="s">
        <v>13</v>
      </c>
      <c r="L8" s="1" t="s">
        <v>13</v>
      </c>
      <c r="M8" s="1" t="s">
        <v>13</v>
      </c>
      <c r="N8" s="1" t="s">
        <v>13</v>
      </c>
      <c r="O8" s="1" t="s">
        <v>13</v>
      </c>
      <c r="P8" s="1" t="s">
        <v>13</v>
      </c>
      <c r="Q8" s="1" t="s">
        <v>13</v>
      </c>
      <c r="R8" s="1" t="s">
        <v>13</v>
      </c>
      <c r="S8" s="2" t="s">
        <v>25</v>
      </c>
      <c r="T8" t="s">
        <v>26</v>
      </c>
      <c r="AA8">
        <f t="shared" si="0"/>
        <v>256</v>
      </c>
    </row>
    <row r="9" spans="1:27" x14ac:dyDescent="0.3">
      <c r="A9" s="6">
        <v>7</v>
      </c>
      <c r="B9" t="s">
        <v>37</v>
      </c>
      <c r="C9">
        <v>0</v>
      </c>
      <c r="D9">
        <v>1</v>
      </c>
      <c r="E9">
        <v>1</v>
      </c>
      <c r="F9">
        <v>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AA9">
        <f t="shared" si="0"/>
        <v>512</v>
      </c>
    </row>
    <row r="10" spans="1:27" x14ac:dyDescent="0.3">
      <c r="A10" s="6">
        <v>8</v>
      </c>
      <c r="B10" t="s">
        <v>38</v>
      </c>
      <c r="C10">
        <v>1</v>
      </c>
      <c r="D10">
        <v>0</v>
      </c>
      <c r="E10">
        <v>0</v>
      </c>
      <c r="F10">
        <v>0</v>
      </c>
      <c r="G10" s="1"/>
      <c r="H10" s="1"/>
      <c r="I10" s="1"/>
      <c r="K10" s="1"/>
      <c r="L10" s="1"/>
      <c r="M10" s="1"/>
      <c r="N10" s="1"/>
      <c r="O10" s="1"/>
      <c r="P10" s="1"/>
      <c r="Q10" s="1"/>
      <c r="R10" s="1"/>
      <c r="AA10">
        <f t="shared" si="0"/>
        <v>1024</v>
      </c>
    </row>
    <row r="11" spans="1:27" x14ac:dyDescent="0.3">
      <c r="A11" s="6">
        <v>9</v>
      </c>
      <c r="B11" t="s">
        <v>35</v>
      </c>
      <c r="C11">
        <v>1</v>
      </c>
      <c r="D11">
        <v>0</v>
      </c>
      <c r="E11">
        <v>0</v>
      </c>
      <c r="F11">
        <v>1</v>
      </c>
      <c r="G11" s="1"/>
      <c r="H11" s="1"/>
      <c r="I11" s="1"/>
      <c r="J11" s="1"/>
      <c r="K11" s="1" t="s">
        <v>36</v>
      </c>
      <c r="L11" s="1" t="s">
        <v>36</v>
      </c>
      <c r="M11" s="1" t="s">
        <v>36</v>
      </c>
      <c r="N11" s="1" t="s">
        <v>36</v>
      </c>
      <c r="O11" s="1" t="s">
        <v>36</v>
      </c>
      <c r="P11" s="1" t="s">
        <v>36</v>
      </c>
      <c r="Q11" s="1" t="s">
        <v>36</v>
      </c>
      <c r="R11" s="1" t="s">
        <v>36</v>
      </c>
      <c r="T11" s="8" t="s">
        <v>39</v>
      </c>
      <c r="AA11">
        <f t="shared" si="0"/>
        <v>2048</v>
      </c>
    </row>
    <row r="12" spans="1:27" x14ac:dyDescent="0.3">
      <c r="A12" s="6">
        <v>10</v>
      </c>
      <c r="C12">
        <v>1</v>
      </c>
      <c r="D12">
        <v>0</v>
      </c>
      <c r="E12">
        <v>1</v>
      </c>
      <c r="F12">
        <v>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AA12">
        <f t="shared" si="0"/>
        <v>4096</v>
      </c>
    </row>
    <row r="13" spans="1:27" x14ac:dyDescent="0.3">
      <c r="A13" s="6">
        <v>11</v>
      </c>
      <c r="C13">
        <v>1</v>
      </c>
      <c r="D13">
        <v>0</v>
      </c>
      <c r="E13">
        <v>1</v>
      </c>
      <c r="F13">
        <v>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AA13">
        <f t="shared" si="0"/>
        <v>8192</v>
      </c>
    </row>
    <row r="14" spans="1:27" x14ac:dyDescent="0.3">
      <c r="A14" s="6">
        <v>12</v>
      </c>
      <c r="C14">
        <v>1</v>
      </c>
      <c r="D14">
        <v>1</v>
      </c>
      <c r="E14">
        <v>0</v>
      </c>
      <c r="F14">
        <v>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AA14">
        <f t="shared" si="0"/>
        <v>16384</v>
      </c>
    </row>
    <row r="15" spans="1:27" x14ac:dyDescent="0.3">
      <c r="A15" s="6">
        <v>13</v>
      </c>
      <c r="C15">
        <v>1</v>
      </c>
      <c r="D15">
        <v>1</v>
      </c>
      <c r="E15">
        <v>0</v>
      </c>
      <c r="F15">
        <v>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AA15">
        <f t="shared" si="0"/>
        <v>32768</v>
      </c>
    </row>
    <row r="16" spans="1:27" x14ac:dyDescent="0.3">
      <c r="A16" s="6">
        <v>14</v>
      </c>
      <c r="C16">
        <v>1</v>
      </c>
      <c r="D16">
        <v>1</v>
      </c>
      <c r="E16">
        <v>1</v>
      </c>
      <c r="F16">
        <v>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20" x14ac:dyDescent="0.3">
      <c r="A17" s="6">
        <v>15</v>
      </c>
      <c r="B17" t="s">
        <v>33</v>
      </c>
      <c r="C17">
        <v>1</v>
      </c>
      <c r="D17">
        <v>1</v>
      </c>
      <c r="E17">
        <v>1</v>
      </c>
      <c r="F17">
        <v>1</v>
      </c>
      <c r="G17" s="1" t="s">
        <v>14</v>
      </c>
      <c r="H17" s="1" t="s">
        <v>14</v>
      </c>
      <c r="I17" s="1" t="s">
        <v>14</v>
      </c>
      <c r="J17" s="1" t="s">
        <v>14</v>
      </c>
      <c r="K17" s="1" t="s">
        <v>14</v>
      </c>
      <c r="L17" s="1" t="s">
        <v>14</v>
      </c>
      <c r="M17" s="1" t="s">
        <v>14</v>
      </c>
      <c r="N17" s="1" t="s">
        <v>14</v>
      </c>
      <c r="O17" s="1" t="s">
        <v>14</v>
      </c>
      <c r="P17" s="1" t="s">
        <v>14</v>
      </c>
      <c r="Q17" s="1" t="s">
        <v>14</v>
      </c>
      <c r="R17" s="1" t="s">
        <v>14</v>
      </c>
      <c r="T17" t="s">
        <v>34</v>
      </c>
    </row>
  </sheetData>
  <mergeCells count="4">
    <mergeCell ref="I1:P1"/>
    <mergeCell ref="C1:F1"/>
    <mergeCell ref="G1:H1"/>
    <mergeCell ref="Q1:R1"/>
  </mergeCells>
  <phoneticPr fontId="4" type="noConversion"/>
  <conditionalFormatting sqref="C2:F17 G3:T3">
    <cfRule type="cellIs" dxfId="5" priority="5" operator="equal">
      <formula>0</formula>
    </cfRule>
    <cfRule type="cellIs" dxfId="4" priority="6" operator="equal">
      <formula>1</formula>
    </cfRule>
  </conditionalFormatting>
  <conditionalFormatting sqref="G2:R17 T11">
    <cfRule type="cellIs" dxfId="3" priority="1" operator="equal">
      <formula>"S"</formula>
    </cfRule>
    <cfRule type="containsText" dxfId="2" priority="2" operator="containsText" text="–">
      <formula>NOT(ISERROR(SEARCH("–",G2)))</formula>
    </cfRule>
    <cfRule type="cellIs" dxfId="0" priority="4" operator="equal">
      <formula>"D"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9610714E-E19A-45ED-99B6-977FD7F7823B}">
            <xm:f>NOT(ISERROR(SEARCH("A",G2)))</xm:f>
            <xm:f>"A"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G2:R17 T11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2788723BE0D194EA1C6D9452B0CA75E" ma:contentTypeVersion="14" ma:contentTypeDescription="Utwórz nowy dokument." ma:contentTypeScope="" ma:versionID="73ba7242f4718736a68f039b37b9ae7f">
  <xsd:schema xmlns:xsd="http://www.w3.org/2001/XMLSchema" xmlns:xs="http://www.w3.org/2001/XMLSchema" xmlns:p="http://schemas.microsoft.com/office/2006/metadata/properties" xmlns:ns3="06eef041-7422-4d1c-94b7-ea4e47b60cc2" xmlns:ns4="dfe5c5fb-19df-4a91-a497-c72971782c36" targetNamespace="http://schemas.microsoft.com/office/2006/metadata/properties" ma:root="true" ma:fieldsID="28543857c4583c278c12724cdc71490e" ns3:_="" ns4:_="">
    <xsd:import namespace="06eef041-7422-4d1c-94b7-ea4e47b60cc2"/>
    <xsd:import namespace="dfe5c5fb-19df-4a91-a497-c72971782c3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eef041-7422-4d1c-94b7-ea4e47b60c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e5c5fb-19df-4a91-a497-c72971782c3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6eef041-7422-4d1c-94b7-ea4e47b60cc2" xsi:nil="true"/>
  </documentManagement>
</p:properties>
</file>

<file path=customXml/itemProps1.xml><?xml version="1.0" encoding="utf-8"?>
<ds:datastoreItem xmlns:ds="http://schemas.openxmlformats.org/officeDocument/2006/customXml" ds:itemID="{8E5A57CF-93E1-44E4-BB88-F5A6587A52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eef041-7422-4d1c-94b7-ea4e47b60cc2"/>
    <ds:schemaRef ds:uri="dfe5c5fb-19df-4a91-a497-c72971782c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BDFED0-D57C-4FAB-93A1-767900BBC4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755E1E-1ED4-46D8-B3D7-9C6B9793452B}">
  <ds:schemaRefs>
    <ds:schemaRef ds:uri="http://purl.org/dc/elements/1.1/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dfe5c5fb-19df-4a91-a497-c72971782c36"/>
    <ds:schemaRef ds:uri="http://schemas.openxmlformats.org/package/2006/metadata/core-properties"/>
    <ds:schemaRef ds:uri="06eef041-7422-4d1c-94b7-ea4e47b60cc2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Bogacki TN 2023</dc:creator>
  <cp:lastModifiedBy>Jakub Bogacki TN 2023</cp:lastModifiedBy>
  <dcterms:created xsi:type="dcterms:W3CDTF">2026-07-01T10:20:46Z</dcterms:created>
  <dcterms:modified xsi:type="dcterms:W3CDTF">2026-07-01T22:03:14Z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0x01010092788723BE0D194EA1C6D9452B0CA75E</vt:lpwstr>
  </property>
</Properties>
</file>